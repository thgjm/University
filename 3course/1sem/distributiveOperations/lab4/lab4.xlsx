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University\3course\distributiveOperations\lab4\"/>
    </mc:Choice>
  </mc:AlternateContent>
  <bookViews>
    <workbookView xWindow="0" yWindow="0" windowWidth="17256" windowHeight="6228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  <c r="N19" i="1"/>
  <c r="N20" i="1"/>
  <c r="N21" i="1"/>
  <c r="N22" i="1"/>
  <c r="N23" i="1"/>
  <c r="N17" i="1"/>
  <c r="L18" i="1"/>
  <c r="L19" i="1"/>
  <c r="L20" i="1"/>
  <c r="L21" i="1"/>
  <c r="L22" i="1"/>
  <c r="L23" i="1"/>
  <c r="L17" i="1"/>
  <c r="J18" i="1"/>
  <c r="J19" i="1"/>
  <c r="J20" i="1"/>
  <c r="J21" i="1"/>
  <c r="J22" i="1"/>
  <c r="J23" i="1"/>
  <c r="J17" i="1"/>
  <c r="M18" i="1"/>
  <c r="M19" i="1"/>
  <c r="M20" i="1"/>
  <c r="M21" i="1"/>
  <c r="M22" i="1"/>
  <c r="M23" i="1"/>
  <c r="M17" i="1"/>
  <c r="K18" i="1"/>
  <c r="K19" i="1"/>
  <c r="K20" i="1"/>
  <c r="K21" i="1"/>
  <c r="K22" i="1"/>
  <c r="K23" i="1"/>
  <c r="K17" i="1"/>
  <c r="I23" i="1"/>
  <c r="I18" i="1"/>
  <c r="I19" i="1"/>
  <c r="I20" i="1"/>
  <c r="I21" i="1"/>
  <c r="I22" i="1"/>
  <c r="I17" i="1"/>
  <c r="D25" i="1"/>
  <c r="F19" i="1" s="1"/>
  <c r="F18" i="1" l="1"/>
  <c r="F17" i="1"/>
  <c r="F23" i="1"/>
  <c r="F22" i="1"/>
  <c r="F21" i="1"/>
  <c r="F20" i="1"/>
</calcChain>
</file>

<file path=xl/sharedStrings.xml><?xml version="1.0" encoding="utf-8"?>
<sst xmlns="http://schemas.openxmlformats.org/spreadsheetml/2006/main" count="30" uniqueCount="16">
  <si>
    <t>Test Number</t>
  </si>
  <si>
    <t>Theoretical time (sec)</t>
  </si>
  <si>
    <t>Parallel algorithm</t>
  </si>
  <si>
    <t>2 processors</t>
  </si>
  <si>
    <t>4 processors</t>
  </si>
  <si>
    <t>8 processors</t>
  </si>
  <si>
    <t>Execution time (sec)</t>
  </si>
  <si>
    <t>Data Amount</t>
  </si>
  <si>
    <t>(для 20000): τ =</t>
  </si>
  <si>
    <t>Speed Up 1</t>
  </si>
  <si>
    <t>Speed Up 2</t>
  </si>
  <si>
    <t>Bubble Sorting (sec)</t>
  </si>
  <si>
    <t>STD Sorting (sec)</t>
  </si>
  <si>
    <t>Serial Bubble Sorting</t>
  </si>
  <si>
    <t>Serial STD Sorting</t>
  </si>
  <si>
    <t>The Execution Time of the "Compare-Exchange" Operation τ (sec):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</si>
</sst>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6" formatCode="0.00000000"/>
  </numFmts>
  <fonts count="2" x14ac:knownFonts="1">
    <font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FFF3FB"/>
        <bgColor indexed="64"/>
      </patternFill>
    </fill>
    <fill>
      <patternFill patternType="solid">
        <fgColor rgb="FFFFF4C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F3FB"/>
      <color rgb="FFFFE1FF"/>
      <color rgb="FFD9E1F2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25"/>
  <sheetViews>
    <sheetView tabSelected="1" workbookViewId="0">
      <selection activeCell="F19" sqref="F19"/>
    </sheetView>
  </sheetViews>
  <sheetFormatPr defaultRowHeight="14.4" x14ac:dyDescent="0.3"/>
  <cols>
    <col min="3" max="3" width="13.88671875" customWidth="1"/>
    <col min="4" max="4" width="14.88671875" customWidth="1"/>
    <col min="5" max="5" width="19.5546875" customWidth="1"/>
    <col min="6" max="6" width="19.6640625" bestFit="1" customWidth="1"/>
    <col min="8" max="8" width="11.44140625" bestFit="1" customWidth="1"/>
    <col min="9" max="14" width="12.77734375" customWidth="1"/>
    <col min="15" max="16" width="9.77734375" customWidth="1"/>
  </cols>
  <sheetData>
    <row r="3" spans="3:14" x14ac:dyDescent="0.3">
      <c r="C3" s="7" t="s">
        <v>15</v>
      </c>
      <c r="D3" s="8"/>
      <c r="E3" s="8"/>
      <c r="F3" s="9"/>
      <c r="H3" s="17" t="s">
        <v>0</v>
      </c>
      <c r="I3" s="15" t="s">
        <v>7</v>
      </c>
      <c r="J3" s="24" t="s">
        <v>13</v>
      </c>
      <c r="K3" s="25" t="s">
        <v>14</v>
      </c>
      <c r="L3" s="19" t="s">
        <v>2</v>
      </c>
      <c r="M3" s="20"/>
      <c r="N3" s="21"/>
    </row>
    <row r="4" spans="3:14" x14ac:dyDescent="0.3">
      <c r="C4" s="3" t="s">
        <v>0</v>
      </c>
      <c r="D4" s="4" t="s">
        <v>7</v>
      </c>
      <c r="E4" s="3" t="s">
        <v>11</v>
      </c>
      <c r="F4" s="4" t="s">
        <v>12</v>
      </c>
      <c r="H4" s="18"/>
      <c r="I4" s="16"/>
      <c r="J4" s="26"/>
      <c r="K4" s="27"/>
      <c r="L4" s="5" t="s">
        <v>3</v>
      </c>
      <c r="M4" s="6" t="s">
        <v>4</v>
      </c>
      <c r="N4" s="5" t="s">
        <v>5</v>
      </c>
    </row>
    <row r="5" spans="3:14" x14ac:dyDescent="0.3">
      <c r="C5" s="3">
        <v>1</v>
      </c>
      <c r="D5" s="4">
        <v>10</v>
      </c>
      <c r="E5" s="2">
        <v>1.9999999999999999E-6</v>
      </c>
      <c r="F5" s="1">
        <v>3.9999999999999998E-6</v>
      </c>
      <c r="H5" s="4">
        <v>1</v>
      </c>
      <c r="I5" s="3">
        <v>10</v>
      </c>
      <c r="J5" s="1">
        <v>1.9999999999999999E-6</v>
      </c>
      <c r="K5" s="2">
        <v>3.9999999999999998E-6</v>
      </c>
      <c r="L5" s="1">
        <v>3.6000000000000001E-5</v>
      </c>
      <c r="M5" s="2">
        <v>6.6000000000000005E-5</v>
      </c>
      <c r="N5" s="1">
        <v>4.7399999999999997E-4</v>
      </c>
    </row>
    <row r="6" spans="3:14" x14ac:dyDescent="0.3">
      <c r="C6" s="3">
        <v>2</v>
      </c>
      <c r="D6" s="4">
        <v>100</v>
      </c>
      <c r="E6" s="2">
        <v>3.4E-5</v>
      </c>
      <c r="F6" s="1">
        <v>1.2E-5</v>
      </c>
      <c r="H6" s="4">
        <v>2</v>
      </c>
      <c r="I6" s="3">
        <v>100</v>
      </c>
      <c r="J6" s="1">
        <v>3.4E-5</v>
      </c>
      <c r="K6" s="2">
        <v>1.2E-5</v>
      </c>
      <c r="L6" s="1">
        <v>1.11E-4</v>
      </c>
      <c r="M6" s="2">
        <v>1.1400000000000001E-4</v>
      </c>
      <c r="N6" s="1">
        <v>3.1300000000000002E-4</v>
      </c>
    </row>
    <row r="7" spans="3:14" x14ac:dyDescent="0.3">
      <c r="C7" s="3">
        <v>3</v>
      </c>
      <c r="D7" s="4">
        <v>10000</v>
      </c>
      <c r="E7" s="2">
        <v>0.10885599999999999</v>
      </c>
      <c r="F7" s="1">
        <v>1.609E-3</v>
      </c>
      <c r="H7" s="4">
        <v>3</v>
      </c>
      <c r="I7" s="3">
        <v>10000</v>
      </c>
      <c r="J7" s="1">
        <v>0.10885599999999999</v>
      </c>
      <c r="K7" s="2">
        <v>1.609E-3</v>
      </c>
      <c r="L7" s="1">
        <v>2.8282000000000002E-2</v>
      </c>
      <c r="M7" s="2">
        <v>7.672E-3</v>
      </c>
      <c r="N7" s="1">
        <v>4.1869999999999997E-3</v>
      </c>
    </row>
    <row r="8" spans="3:14" x14ac:dyDescent="0.3">
      <c r="C8" s="3">
        <v>4</v>
      </c>
      <c r="D8" s="4">
        <v>20000</v>
      </c>
      <c r="E8" s="2">
        <v>0.64067499999999999</v>
      </c>
      <c r="F8" s="1">
        <v>3.7569999999999999E-3</v>
      </c>
      <c r="H8" s="4">
        <v>4</v>
      </c>
      <c r="I8" s="3">
        <v>20000</v>
      </c>
      <c r="J8" s="1">
        <v>0.64067499999999999</v>
      </c>
      <c r="K8" s="2">
        <v>3.7569999999999999E-3</v>
      </c>
      <c r="L8" s="1">
        <v>0.11917899999999999</v>
      </c>
      <c r="M8" s="2">
        <v>2.9464000000000001E-2</v>
      </c>
      <c r="N8" s="1">
        <v>1.2045E-2</v>
      </c>
    </row>
    <row r="9" spans="3:14" x14ac:dyDescent="0.3">
      <c r="C9" s="3">
        <v>5</v>
      </c>
      <c r="D9" s="4">
        <v>30000</v>
      </c>
      <c r="E9" s="2">
        <v>1.6581669999999999</v>
      </c>
      <c r="F9" s="1">
        <v>5.8250000000000003E-3</v>
      </c>
      <c r="H9" s="4">
        <v>5</v>
      </c>
      <c r="I9" s="3">
        <v>30000</v>
      </c>
      <c r="J9" s="1">
        <v>1.6581669999999999</v>
      </c>
      <c r="K9" s="2">
        <v>5.8250000000000003E-3</v>
      </c>
      <c r="L9" s="1">
        <v>0.34478799999999998</v>
      </c>
      <c r="M9" s="2">
        <v>6.4796999999999993E-2</v>
      </c>
      <c r="N9" s="1">
        <v>2.9520000000000001E-2</v>
      </c>
    </row>
    <row r="10" spans="3:14" x14ac:dyDescent="0.3">
      <c r="C10" s="3">
        <v>6</v>
      </c>
      <c r="D10" s="4">
        <v>40000</v>
      </c>
      <c r="E10" s="2">
        <v>3.1284489999999998</v>
      </c>
      <c r="F10" s="1">
        <v>7.1529999999999996E-3</v>
      </c>
      <c r="H10" s="4">
        <v>6</v>
      </c>
      <c r="I10" s="3">
        <v>40000</v>
      </c>
      <c r="J10" s="1">
        <v>3.1284489999999998</v>
      </c>
      <c r="K10" s="2">
        <v>7.1529999999999996E-3</v>
      </c>
      <c r="L10" s="1">
        <v>0.73804199999999998</v>
      </c>
      <c r="M10" s="2">
        <v>0.14147999999999999</v>
      </c>
      <c r="N10" s="1">
        <v>5.1542999999999999E-2</v>
      </c>
    </row>
    <row r="11" spans="3:14" x14ac:dyDescent="0.3">
      <c r="C11" s="3">
        <v>7</v>
      </c>
      <c r="D11" s="4">
        <v>50000</v>
      </c>
      <c r="E11" s="2">
        <v>5.0019039999999997</v>
      </c>
      <c r="F11" s="1">
        <v>7.835E-3</v>
      </c>
      <c r="H11" s="4">
        <v>7</v>
      </c>
      <c r="I11" s="3">
        <v>50000</v>
      </c>
      <c r="J11" s="1">
        <v>5.0019039999999997</v>
      </c>
      <c r="K11" s="2">
        <v>7.835E-3</v>
      </c>
      <c r="L11" s="1">
        <v>1.2252620000000001</v>
      </c>
      <c r="M11" s="2">
        <v>0.23282</v>
      </c>
      <c r="N11" s="1">
        <v>0.10159799999999999</v>
      </c>
    </row>
    <row r="14" spans="3:14" x14ac:dyDescent="0.3">
      <c r="H14" s="10" t="s">
        <v>0</v>
      </c>
      <c r="I14" s="22" t="s">
        <v>2</v>
      </c>
      <c r="J14" s="22"/>
      <c r="K14" s="22"/>
      <c r="L14" s="22"/>
      <c r="M14" s="22"/>
      <c r="N14" s="22"/>
    </row>
    <row r="15" spans="3:14" x14ac:dyDescent="0.3">
      <c r="C15" s="7" t="s">
        <v>15</v>
      </c>
      <c r="D15" s="8"/>
      <c r="E15" s="8"/>
      <c r="F15" s="9"/>
      <c r="H15" s="10"/>
      <c r="I15" s="11" t="s">
        <v>3</v>
      </c>
      <c r="J15" s="11"/>
      <c r="K15" s="23" t="s">
        <v>4</v>
      </c>
      <c r="L15" s="23"/>
      <c r="M15" s="11" t="s">
        <v>5</v>
      </c>
      <c r="N15" s="11"/>
    </row>
    <row r="16" spans="3:14" x14ac:dyDescent="0.3">
      <c r="C16" s="3" t="s">
        <v>0</v>
      </c>
      <c r="D16" s="4" t="s">
        <v>7</v>
      </c>
      <c r="E16" s="3" t="s">
        <v>6</v>
      </c>
      <c r="F16" s="4" t="s">
        <v>1</v>
      </c>
      <c r="H16" s="10"/>
      <c r="I16" s="4" t="s">
        <v>9</v>
      </c>
      <c r="J16" s="3" t="s">
        <v>10</v>
      </c>
      <c r="K16" s="4" t="s">
        <v>9</v>
      </c>
      <c r="L16" s="3" t="s">
        <v>10</v>
      </c>
      <c r="M16" s="4" t="s">
        <v>9</v>
      </c>
      <c r="N16" s="3" t="s">
        <v>10</v>
      </c>
    </row>
    <row r="17" spans="3:14" x14ac:dyDescent="0.3">
      <c r="C17" s="3">
        <v>1</v>
      </c>
      <c r="D17" s="12">
        <v>10</v>
      </c>
      <c r="E17" s="2">
        <v>1.9999999999999999E-6</v>
      </c>
      <c r="F17" s="13">
        <f>(D17*(D17-1)/2)*$D$25</f>
        <v>1.441590829541477E-7</v>
      </c>
      <c r="H17" s="3">
        <v>1</v>
      </c>
      <c r="I17" s="1">
        <f>J5/L5</f>
        <v>5.5555555555555552E-2</v>
      </c>
      <c r="J17" s="2">
        <f>K5/L5</f>
        <v>0.1111111111111111</v>
      </c>
      <c r="K17" s="1">
        <f>J5/M5</f>
        <v>3.03030303030303E-2</v>
      </c>
      <c r="L17" s="2">
        <f>K5/M5</f>
        <v>6.0606060606060601E-2</v>
      </c>
      <c r="M17" s="1">
        <f>J5/N5</f>
        <v>4.2194092827004216E-3</v>
      </c>
      <c r="N17" s="2">
        <f>K5/N5</f>
        <v>8.4388185654008432E-3</v>
      </c>
    </row>
    <row r="18" spans="3:14" x14ac:dyDescent="0.3">
      <c r="C18" s="3">
        <v>2</v>
      </c>
      <c r="D18" s="12">
        <v>100</v>
      </c>
      <c r="E18" s="2">
        <v>3.4E-5</v>
      </c>
      <c r="F18" s="1">
        <f>(D18*(D18-1)/2)*$D$25</f>
        <v>1.5857499124956248E-5</v>
      </c>
      <c r="H18" s="3">
        <v>2</v>
      </c>
      <c r="I18" s="1">
        <f t="shared" ref="I18:I23" si="0">J6/L6</f>
        <v>0.30630630630630629</v>
      </c>
      <c r="J18" s="2">
        <f t="shared" ref="J18:J23" si="1">K6/L6</f>
        <v>0.10810810810810811</v>
      </c>
      <c r="K18" s="1">
        <f t="shared" ref="K18:K23" si="2">J6/M6</f>
        <v>0.2982456140350877</v>
      </c>
      <c r="L18" s="2">
        <f t="shared" ref="L18:L23" si="3">K6/M6</f>
        <v>0.10526315789473684</v>
      </c>
      <c r="M18" s="1">
        <f t="shared" ref="M18:M23" si="4">J6/N6</f>
        <v>0.10862619808306709</v>
      </c>
      <c r="N18" s="2">
        <f t="shared" ref="N18:N23" si="5">K6/N6</f>
        <v>3.8338658146964855E-2</v>
      </c>
    </row>
    <row r="19" spans="3:14" x14ac:dyDescent="0.3">
      <c r="C19" s="3">
        <v>3</v>
      </c>
      <c r="D19" s="12">
        <v>10000</v>
      </c>
      <c r="E19" s="2">
        <v>0.10885599999999999</v>
      </c>
      <c r="F19" s="1">
        <f>(D19*(D19-1)/2)*$D$25</f>
        <v>0.16016074116205811</v>
      </c>
      <c r="H19" s="3">
        <v>3</v>
      </c>
      <c r="I19" s="1">
        <f t="shared" si="0"/>
        <v>3.8489498621031042</v>
      </c>
      <c r="J19" s="2">
        <f t="shared" si="1"/>
        <v>5.6891308959762389E-2</v>
      </c>
      <c r="K19" s="1">
        <f t="shared" si="2"/>
        <v>14.188738269030239</v>
      </c>
      <c r="L19" s="2">
        <f t="shared" si="3"/>
        <v>0.20972367049009386</v>
      </c>
      <c r="M19" s="1">
        <f t="shared" si="4"/>
        <v>25.998566993073801</v>
      </c>
      <c r="N19" s="2">
        <f t="shared" si="5"/>
        <v>0.38428469070933846</v>
      </c>
    </row>
    <row r="20" spans="3:14" x14ac:dyDescent="0.3">
      <c r="C20" s="3">
        <v>4</v>
      </c>
      <c r="D20" s="12">
        <v>20000</v>
      </c>
      <c r="E20" s="2">
        <v>0.64067499999999999</v>
      </c>
      <c r="F20" s="1">
        <f>(D20*(D20-1)/2)*$D$25</f>
        <v>0.64067499999999999</v>
      </c>
      <c r="H20" s="3">
        <v>4</v>
      </c>
      <c r="I20" s="1">
        <f t="shared" si="0"/>
        <v>5.3757373362756864</v>
      </c>
      <c r="J20" s="2">
        <f t="shared" si="1"/>
        <v>3.1524010102450935E-2</v>
      </c>
      <c r="K20" s="1">
        <f t="shared" si="2"/>
        <v>21.74433206625034</v>
      </c>
      <c r="L20" s="2">
        <f t="shared" si="3"/>
        <v>0.12751153950583763</v>
      </c>
      <c r="M20" s="1">
        <f t="shared" si="4"/>
        <v>53.190120381901203</v>
      </c>
      <c r="N20" s="2">
        <f t="shared" si="5"/>
        <v>0.31191365711913654</v>
      </c>
    </row>
    <row r="21" spans="3:14" x14ac:dyDescent="0.3">
      <c r="C21" s="3">
        <v>5</v>
      </c>
      <c r="D21" s="12">
        <v>30000</v>
      </c>
      <c r="E21" s="2">
        <v>1.6581669999999999</v>
      </c>
      <c r="F21" s="1">
        <f>(D21*(D21-1)/2)*$D$25</f>
        <v>1.4415427765138256</v>
      </c>
      <c r="H21" s="3">
        <v>5</v>
      </c>
      <c r="I21" s="1">
        <f t="shared" si="0"/>
        <v>4.8092364003387589</v>
      </c>
      <c r="J21" s="2">
        <f t="shared" si="1"/>
        <v>1.6894439481652496E-2</v>
      </c>
      <c r="K21" s="1">
        <f t="shared" si="2"/>
        <v>25.590181644211924</v>
      </c>
      <c r="L21" s="2">
        <f t="shared" si="3"/>
        <v>8.9896137166844164E-2</v>
      </c>
      <c r="M21" s="1">
        <f t="shared" si="4"/>
        <v>56.170968834688345</v>
      </c>
      <c r="N21" s="2">
        <f t="shared" si="5"/>
        <v>0.1973238482384824</v>
      </c>
    </row>
    <row r="22" spans="3:14" x14ac:dyDescent="0.3">
      <c r="C22" s="3">
        <v>6</v>
      </c>
      <c r="D22" s="12">
        <v>40000</v>
      </c>
      <c r="E22" s="2">
        <v>3.1284489999999998</v>
      </c>
      <c r="F22" s="1">
        <f>(D22*(D22-1)/2)*$D$25</f>
        <v>2.5627640707035351</v>
      </c>
      <c r="H22" s="3">
        <v>6</v>
      </c>
      <c r="I22" s="1">
        <f t="shared" si="0"/>
        <v>4.2388495505675827</v>
      </c>
      <c r="J22" s="2">
        <f t="shared" si="1"/>
        <v>9.6918603548307551E-3</v>
      </c>
      <c r="K22" s="1">
        <f t="shared" si="2"/>
        <v>22.112305626236925</v>
      </c>
      <c r="L22" s="2">
        <f t="shared" si="3"/>
        <v>5.0558382810291208E-2</v>
      </c>
      <c r="M22" s="1">
        <f t="shared" si="4"/>
        <v>60.695904390508893</v>
      </c>
      <c r="N22" s="2">
        <f t="shared" si="5"/>
        <v>0.13877733154841587</v>
      </c>
    </row>
    <row r="23" spans="3:14" x14ac:dyDescent="0.3">
      <c r="C23" s="3">
        <v>7</v>
      </c>
      <c r="D23" s="12">
        <v>50000</v>
      </c>
      <c r="E23" s="2">
        <v>5.0019039999999997</v>
      </c>
      <c r="F23" s="1">
        <f>(D23*(D23-1)/2)*$D$25</f>
        <v>4.0043388825691286</v>
      </c>
      <c r="H23" s="3">
        <v>7</v>
      </c>
      <c r="I23" s="1">
        <f>J11/L11</f>
        <v>4.0823138234924441</v>
      </c>
      <c r="J23" s="2">
        <f t="shared" si="1"/>
        <v>6.3945507164998175E-3</v>
      </c>
      <c r="K23" s="1">
        <f t="shared" si="2"/>
        <v>21.483996220255989</v>
      </c>
      <c r="L23" s="2">
        <f t="shared" si="3"/>
        <v>3.3652607164332958E-2</v>
      </c>
      <c r="M23" s="1">
        <f t="shared" si="4"/>
        <v>49.232307722592964</v>
      </c>
      <c r="N23" s="2">
        <f t="shared" si="5"/>
        <v>7.7117659796452687E-2</v>
      </c>
    </row>
    <row r="25" spans="3:14" x14ac:dyDescent="0.3">
      <c r="C25" t="s">
        <v>8</v>
      </c>
      <c r="D25" s="14">
        <f>E20/(20000*(20000-1)/2)</f>
        <v>3.2035351767588379E-9</v>
      </c>
    </row>
  </sheetData>
  <mergeCells count="12">
    <mergeCell ref="I15:J15"/>
    <mergeCell ref="I14:N14"/>
    <mergeCell ref="C15:F15"/>
    <mergeCell ref="L3:N3"/>
    <mergeCell ref="K3:K4"/>
    <mergeCell ref="J3:J4"/>
    <mergeCell ref="I3:I4"/>
    <mergeCell ref="H3:H4"/>
    <mergeCell ref="H14:H16"/>
    <mergeCell ref="M15:N15"/>
    <mergeCell ref="K15:L15"/>
    <mergeCell ref="C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Ta</dc:creator>
  <cp:lastModifiedBy>Xie Ta</cp:lastModifiedBy>
  <dcterms:created xsi:type="dcterms:W3CDTF">2025-10-23T11:30:31Z</dcterms:created>
  <dcterms:modified xsi:type="dcterms:W3CDTF">2025-11-02T18:48:12Z</dcterms:modified>
</cp:coreProperties>
</file>