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University\3course\distributiveOperations\lab2\"/>
    </mc:Choice>
  </mc:AlternateContent>
  <bookViews>
    <workbookView xWindow="0" yWindow="0" windowWidth="23040" windowHeight="9780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0" i="1" l="1"/>
  <c r="F5" i="1" l="1"/>
  <c r="N6" i="1"/>
  <c r="N7" i="1"/>
  <c r="N8" i="1"/>
  <c r="N9" i="1"/>
  <c r="N11" i="1"/>
  <c r="N12" i="1"/>
  <c r="N5" i="1"/>
  <c r="L6" i="1"/>
  <c r="L7" i="1"/>
  <c r="L8" i="1"/>
  <c r="L9" i="1"/>
  <c r="L10" i="1"/>
  <c r="L11" i="1"/>
  <c r="L12" i="1"/>
  <c r="L5" i="1"/>
  <c r="E17" i="1" l="1"/>
  <c r="F6" i="1" s="1"/>
  <c r="E16" i="1"/>
  <c r="F12" i="1" l="1"/>
  <c r="F9" i="1"/>
  <c r="F7" i="1"/>
  <c r="F11" i="1"/>
  <c r="F10" i="1"/>
  <c r="F8" i="1"/>
</calcChain>
</file>

<file path=xl/sharedStrings.xml><?xml version="1.0" encoding="utf-8"?>
<sst xmlns="http://schemas.openxmlformats.org/spreadsheetml/2006/main" count="18" uniqueCount="14">
  <si>
    <t>Basic Computational Operation Execution Time τ (sec):</t>
  </si>
  <si>
    <t>Test Number</t>
  </si>
  <si>
    <t>Matrix Size</t>
  </si>
  <si>
    <t>Execution Time (sec)</t>
  </si>
  <si>
    <t>Theoretical Time (sec)</t>
  </si>
  <si>
    <t>Serial algorithm</t>
  </si>
  <si>
    <t>Parallel algorithm</t>
  </si>
  <si>
    <t>4 processors</t>
  </si>
  <si>
    <t>Time</t>
  </si>
  <si>
    <t>Speed Up</t>
  </si>
  <si>
    <t>(для 1500): τ=T/(size*size*(2size-1)</t>
  </si>
  <si>
    <t>(size*size*(2size-1) =</t>
  </si>
  <si>
    <t>τ=</t>
  </si>
  <si>
    <t>9 processors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</si>
</sst>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"/>
  </numFmts>
  <fonts count="2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4CD"/>
        <bgColor indexed="64"/>
      </patternFill>
    </fill>
    <fill>
      <patternFill patternType="solid">
        <fgColor rgb="FFFFF3FB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/>
    <xf numFmtId="164" fontId="0" fillId="2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164" fontId="0" fillId="0" borderId="4" xfId="0" applyNumberFormat="1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164" fontId="0" fillId="2" borderId="5" xfId="0" applyNumberFormat="1" applyFill="1" applyBorder="1" applyAlignment="1">
      <alignment horizontal="center" vertical="center"/>
    </xf>
    <xf numFmtId="164" fontId="0" fillId="4" borderId="5" xfId="0" applyNumberFormat="1" applyFill="1" applyBorder="1" applyAlignment="1">
      <alignment horizontal="center" vertical="center"/>
    </xf>
    <xf numFmtId="1" fontId="0" fillId="4" borderId="11" xfId="0" applyNumberFormat="1" applyFill="1" applyBorder="1" applyAlignment="1">
      <alignment horizontal="left"/>
    </xf>
    <xf numFmtId="0" fontId="1" fillId="2" borderId="9" xfId="0" applyFont="1" applyFill="1" applyBorder="1" applyAlignment="1">
      <alignment horizontal="right"/>
    </xf>
    <xf numFmtId="0" fontId="1" fillId="2" borderId="11" xfId="0" applyFont="1" applyFill="1" applyBorder="1" applyAlignment="1">
      <alignment horizontal="left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9" xfId="0" applyFill="1" applyBorder="1" applyAlignment="1">
      <alignment horizontal="right"/>
    </xf>
    <xf numFmtId="0" fontId="0" fillId="4" borderId="10" xfId="0" applyFill="1" applyBorder="1" applyAlignment="1">
      <alignment horizontal="right"/>
    </xf>
    <xf numFmtId="0" fontId="0" fillId="3" borderId="5" xfId="0" applyFill="1" applyBorder="1" applyAlignment="1">
      <alignment horizontal="center" vertical="center"/>
    </xf>
    <xf numFmtId="0" fontId="0" fillId="6" borderId="7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</cellXfs>
  <cellStyles count="1">
    <cellStyle name="Звичайний" xfId="0" builtinId="0"/>
  </cellStyles>
  <dxfs count="0"/>
  <tableStyles count="0" defaultTableStyle="TableStyleMedium2" defaultPivotStyle="PivotStyleLight16"/>
  <colors>
    <mruColors>
      <color rgb="FFFFF3FB"/>
      <color rgb="FFFFF4CD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P34"/>
  <sheetViews>
    <sheetView tabSelected="1" workbookViewId="0">
      <selection activeCell="H20" sqref="H20"/>
    </sheetView>
  </sheetViews>
  <sheetFormatPr defaultRowHeight="14.4" x14ac:dyDescent="0.3"/>
  <cols>
    <col min="3" max="4" width="12.77734375" customWidth="1"/>
    <col min="5" max="5" width="18" customWidth="1"/>
    <col min="6" max="6" width="19.21875" customWidth="1"/>
    <col min="8" max="8" width="11.44140625" bestFit="1" customWidth="1"/>
    <col min="9" max="9" width="9.88671875" bestFit="1" customWidth="1"/>
    <col min="10" max="10" width="13.77734375" bestFit="1" customWidth="1"/>
    <col min="11" max="11" width="9.44140625" bestFit="1" customWidth="1"/>
    <col min="12" max="12" width="9.77734375" customWidth="1"/>
    <col min="13" max="13" width="9.44140625" bestFit="1" customWidth="1"/>
    <col min="14" max="14" width="9.77734375" customWidth="1"/>
    <col min="15" max="15" width="9.109375" bestFit="1" customWidth="1"/>
    <col min="16" max="16" width="9.77734375" customWidth="1"/>
  </cols>
  <sheetData>
    <row r="2" spans="3:14" x14ac:dyDescent="0.3">
      <c r="H2" s="18" t="s">
        <v>1</v>
      </c>
      <c r="I2" s="27" t="s">
        <v>2</v>
      </c>
      <c r="J2" s="18" t="s">
        <v>5</v>
      </c>
      <c r="K2" s="19" t="s">
        <v>6</v>
      </c>
      <c r="L2" s="19"/>
      <c r="M2" s="19"/>
      <c r="N2" s="19"/>
    </row>
    <row r="3" spans="3:14" x14ac:dyDescent="0.3">
      <c r="C3" s="22" t="s">
        <v>0</v>
      </c>
      <c r="D3" s="22"/>
      <c r="E3" s="22"/>
      <c r="F3" s="22"/>
      <c r="H3" s="18"/>
      <c r="I3" s="27"/>
      <c r="J3" s="18"/>
      <c r="K3" s="16" t="s">
        <v>7</v>
      </c>
      <c r="L3" s="16"/>
      <c r="M3" s="17" t="s">
        <v>13</v>
      </c>
      <c r="N3" s="17"/>
    </row>
    <row r="4" spans="3:14" x14ac:dyDescent="0.3">
      <c r="C4" s="7" t="s">
        <v>1</v>
      </c>
      <c r="D4" s="8" t="s">
        <v>2</v>
      </c>
      <c r="E4" s="7" t="s">
        <v>3</v>
      </c>
      <c r="F4" s="8" t="s">
        <v>4</v>
      </c>
      <c r="H4" s="18"/>
      <c r="I4" s="27"/>
      <c r="J4" s="18"/>
      <c r="K4" s="15" t="s">
        <v>8</v>
      </c>
      <c r="L4" s="14" t="s">
        <v>9</v>
      </c>
      <c r="M4" s="15" t="s">
        <v>8</v>
      </c>
      <c r="N4" s="14" t="s">
        <v>9</v>
      </c>
    </row>
    <row r="5" spans="3:14" x14ac:dyDescent="0.3">
      <c r="C5" s="7">
        <v>1</v>
      </c>
      <c r="D5" s="8">
        <v>12</v>
      </c>
      <c r="E5" s="9">
        <v>7.9999999999999996E-6</v>
      </c>
      <c r="F5" s="10">
        <f>D5*D5*(2*D5-1)*$E$17</f>
        <v>9.2793618566188729E-6</v>
      </c>
      <c r="H5" s="14">
        <v>1</v>
      </c>
      <c r="I5" s="15">
        <v>12</v>
      </c>
      <c r="J5" s="3">
        <v>7.9999999999999996E-6</v>
      </c>
      <c r="K5" s="2">
        <v>1.8200000000000001E-4</v>
      </c>
      <c r="L5" s="3">
        <f>J5/K5</f>
        <v>4.3956043956043953E-2</v>
      </c>
      <c r="M5" s="2">
        <v>6.2699999999999995E-4</v>
      </c>
      <c r="N5" s="3">
        <f>J5/M5</f>
        <v>1.2759170653907496E-2</v>
      </c>
    </row>
    <row r="6" spans="3:14" x14ac:dyDescent="0.3">
      <c r="C6" s="7">
        <v>2</v>
      </c>
      <c r="D6" s="8">
        <v>102</v>
      </c>
      <c r="E6" s="9">
        <v>4.8719999999999996E-3</v>
      </c>
      <c r="F6" s="10">
        <f t="shared" ref="F6:F12" si="0">D6*D6*(2*D6-1)*$E$17</f>
        <v>5.917307848285429E-3</v>
      </c>
      <c r="H6" s="14">
        <v>2</v>
      </c>
      <c r="I6" s="15">
        <v>102</v>
      </c>
      <c r="J6" s="3">
        <v>4.8719999999999996E-3</v>
      </c>
      <c r="K6" s="2">
        <v>1.9170000000000001E-3</v>
      </c>
      <c r="L6" s="3">
        <f t="shared" ref="L6:L12" si="1">J6/K6</f>
        <v>2.5414710485133019</v>
      </c>
      <c r="M6" s="2">
        <v>1.4139999999999999E-3</v>
      </c>
      <c r="N6" s="3">
        <f t="shared" ref="N6:N12" si="2">J6/M6</f>
        <v>3.4455445544554455</v>
      </c>
    </row>
    <row r="7" spans="3:14" x14ac:dyDescent="0.3">
      <c r="C7" s="7">
        <v>3</v>
      </c>
      <c r="D7" s="8">
        <v>498</v>
      </c>
      <c r="E7" s="9">
        <v>0.44658799999999998</v>
      </c>
      <c r="F7" s="10">
        <f t="shared" si="0"/>
        <v>0.69136843707713236</v>
      </c>
      <c r="H7" s="14">
        <v>3</v>
      </c>
      <c r="I7" s="15">
        <v>498</v>
      </c>
      <c r="J7" s="3">
        <v>0.44658799999999998</v>
      </c>
      <c r="K7" s="2">
        <v>9.1414999999999996E-2</v>
      </c>
      <c r="L7" s="3">
        <f t="shared" si="1"/>
        <v>4.8852814089591421</v>
      </c>
      <c r="M7" s="2">
        <v>7.6951000000000006E-2</v>
      </c>
      <c r="N7" s="3">
        <f t="shared" si="2"/>
        <v>5.8035373159543076</v>
      </c>
    </row>
    <row r="8" spans="3:14" x14ac:dyDescent="0.3">
      <c r="C8" s="7">
        <v>4</v>
      </c>
      <c r="D8" s="8">
        <v>1002</v>
      </c>
      <c r="E8" s="9">
        <v>7.2452680000000003</v>
      </c>
      <c r="F8" s="10">
        <f t="shared" si="0"/>
        <v>5.6343545870320133</v>
      </c>
      <c r="H8" s="14">
        <v>4</v>
      </c>
      <c r="I8" s="15">
        <v>1002</v>
      </c>
      <c r="J8" s="3">
        <v>7.2452680000000003</v>
      </c>
      <c r="K8" s="2">
        <v>1.3534679999999999</v>
      </c>
      <c r="L8" s="3">
        <f t="shared" si="1"/>
        <v>5.3531136310574023</v>
      </c>
      <c r="M8" s="2">
        <v>0.65709799999999996</v>
      </c>
      <c r="N8" s="3">
        <f t="shared" si="2"/>
        <v>11.026160481389383</v>
      </c>
    </row>
    <row r="9" spans="3:14" x14ac:dyDescent="0.3">
      <c r="C9" s="7">
        <v>5</v>
      </c>
      <c r="D9" s="8">
        <v>1500</v>
      </c>
      <c r="E9" s="9">
        <v>18.905439000000001</v>
      </c>
      <c r="F9" s="10">
        <f t="shared" si="0"/>
        <v>18.905439000000001</v>
      </c>
      <c r="H9" s="14">
        <v>5</v>
      </c>
      <c r="I9" s="15">
        <v>1500</v>
      </c>
      <c r="J9" s="3">
        <v>18.905439000000001</v>
      </c>
      <c r="K9" s="2">
        <v>6.3604630000000002</v>
      </c>
      <c r="L9" s="3">
        <f t="shared" si="1"/>
        <v>2.9723369194978417</v>
      </c>
      <c r="M9" s="2">
        <v>2.7283200000000001</v>
      </c>
      <c r="N9" s="3">
        <f t="shared" si="2"/>
        <v>6.9293334359605918</v>
      </c>
    </row>
    <row r="10" spans="3:14" x14ac:dyDescent="0.3">
      <c r="C10" s="7">
        <v>6</v>
      </c>
      <c r="D10" s="8">
        <v>1998</v>
      </c>
      <c r="E10" s="9">
        <v>62.412781000000003</v>
      </c>
      <c r="F10" s="10">
        <f t="shared" si="0"/>
        <v>44.682301433585302</v>
      </c>
      <c r="H10" s="14">
        <v>6</v>
      </c>
      <c r="I10" s="15">
        <v>1998</v>
      </c>
      <c r="J10" s="3">
        <v>62.412781000000003</v>
      </c>
      <c r="K10" s="2">
        <v>21.280989000000002</v>
      </c>
      <c r="L10" s="3">
        <f t="shared" si="1"/>
        <v>2.9327951346622094</v>
      </c>
      <c r="M10" s="2">
        <v>10.823134</v>
      </c>
      <c r="N10" s="3">
        <f t="shared" si="2"/>
        <v>5.7666089138321679</v>
      </c>
    </row>
    <row r="11" spans="3:14" x14ac:dyDescent="0.3">
      <c r="C11" s="7">
        <v>7</v>
      </c>
      <c r="D11" s="8">
        <v>2502</v>
      </c>
      <c r="E11" s="9">
        <v>133.13329999999999</v>
      </c>
      <c r="F11" s="10">
        <f t="shared" si="0"/>
        <v>87.74712506836579</v>
      </c>
      <c r="H11" s="14">
        <v>7</v>
      </c>
      <c r="I11" s="15">
        <v>2502</v>
      </c>
      <c r="J11" s="3">
        <v>133.13329999999999</v>
      </c>
      <c r="K11" s="2">
        <v>42.305205000000001</v>
      </c>
      <c r="L11" s="3">
        <f t="shared" si="1"/>
        <v>3.1469721042599836</v>
      </c>
      <c r="M11" s="2">
        <v>21.291824999999999</v>
      </c>
      <c r="N11" s="3">
        <f t="shared" si="2"/>
        <v>6.2527895095887738</v>
      </c>
    </row>
    <row r="12" spans="3:14" x14ac:dyDescent="0.3">
      <c r="C12" s="7">
        <v>8</v>
      </c>
      <c r="D12" s="8">
        <v>3000</v>
      </c>
      <c r="E12" s="9">
        <v>163.98787300000001</v>
      </c>
      <c r="F12" s="10">
        <f t="shared" si="0"/>
        <v>151.26872765721907</v>
      </c>
      <c r="H12" s="14">
        <v>8</v>
      </c>
      <c r="I12" s="15">
        <v>3000</v>
      </c>
      <c r="J12" s="3">
        <v>163.98787300000001</v>
      </c>
      <c r="K12" s="2">
        <v>41.505229999999997</v>
      </c>
      <c r="L12" s="3">
        <f t="shared" si="1"/>
        <v>3.9510170886897873</v>
      </c>
      <c r="M12" s="2">
        <v>26.429853000000001</v>
      </c>
      <c r="N12" s="3">
        <f t="shared" si="2"/>
        <v>6.2046456709388433</v>
      </c>
    </row>
    <row r="13" spans="3:14" x14ac:dyDescent="0.3">
      <c r="C13" s="6"/>
      <c r="D13" s="6"/>
      <c r="E13" s="6"/>
      <c r="F13" s="6"/>
    </row>
    <row r="14" spans="3:14" x14ac:dyDescent="0.3">
      <c r="C14" s="4"/>
      <c r="D14" s="4"/>
      <c r="E14" s="4"/>
      <c r="F14" s="4"/>
    </row>
    <row r="15" spans="3:14" x14ac:dyDescent="0.3">
      <c r="C15" s="23" t="s">
        <v>10</v>
      </c>
      <c r="D15" s="24"/>
      <c r="E15" s="25"/>
      <c r="F15" s="26"/>
    </row>
    <row r="16" spans="3:14" x14ac:dyDescent="0.3">
      <c r="C16" s="20" t="s">
        <v>11</v>
      </c>
      <c r="D16" s="21"/>
      <c r="E16" s="11">
        <f>1500*1500*(2*1500-1)</f>
        <v>6747750000</v>
      </c>
      <c r="F16" s="4"/>
    </row>
    <row r="17" spans="4:16" x14ac:dyDescent="0.3">
      <c r="D17" s="12" t="s">
        <v>12</v>
      </c>
      <c r="E17" s="13">
        <f>E9/E16</f>
        <v>2.8017396910081139E-9</v>
      </c>
      <c r="F17" s="1"/>
    </row>
    <row r="25" spans="4:16" x14ac:dyDescent="0.3">
      <c r="J25" s="4"/>
      <c r="K25" s="5"/>
      <c r="L25" s="5"/>
      <c r="M25" s="5"/>
      <c r="N25" s="5"/>
      <c r="O25" s="5"/>
      <c r="P25" s="5"/>
    </row>
    <row r="26" spans="4:16" x14ac:dyDescent="0.3">
      <c r="J26" s="4"/>
      <c r="K26" s="5"/>
      <c r="L26" s="5"/>
      <c r="M26" s="5"/>
      <c r="N26" s="5"/>
      <c r="O26" s="5"/>
      <c r="P26" s="5"/>
    </row>
    <row r="27" spans="4:16" x14ac:dyDescent="0.3">
      <c r="J27" s="4"/>
      <c r="K27" s="5"/>
      <c r="L27" s="5"/>
      <c r="M27" s="5"/>
      <c r="N27" s="5"/>
      <c r="O27" s="5"/>
      <c r="P27" s="5"/>
    </row>
    <row r="28" spans="4:16" x14ac:dyDescent="0.3">
      <c r="J28" s="4"/>
      <c r="K28" s="5"/>
      <c r="L28" s="5"/>
      <c r="M28" s="5"/>
      <c r="N28" s="5"/>
      <c r="O28" s="5"/>
      <c r="P28" s="5"/>
    </row>
    <row r="29" spans="4:16" x14ac:dyDescent="0.3">
      <c r="J29" s="4"/>
      <c r="K29" s="5"/>
      <c r="L29" s="5"/>
      <c r="M29" s="5"/>
      <c r="N29" s="5"/>
      <c r="O29" s="5"/>
      <c r="P29" s="5"/>
    </row>
    <row r="30" spans="4:16" x14ac:dyDescent="0.3">
      <c r="J30" s="4"/>
      <c r="K30" s="5"/>
      <c r="L30" s="5"/>
      <c r="M30" s="5"/>
      <c r="N30" s="5"/>
      <c r="O30" s="5"/>
      <c r="P30" s="5"/>
    </row>
    <row r="31" spans="4:16" x14ac:dyDescent="0.3">
      <c r="J31" s="4"/>
      <c r="K31" s="5"/>
      <c r="L31" s="5"/>
      <c r="M31" s="5"/>
      <c r="N31" s="5"/>
      <c r="O31" s="5"/>
      <c r="P31" s="5"/>
    </row>
    <row r="32" spans="4:16" x14ac:dyDescent="0.3">
      <c r="J32" s="4"/>
      <c r="K32" s="5"/>
      <c r="L32" s="5"/>
      <c r="M32" s="5"/>
      <c r="N32" s="5"/>
      <c r="O32" s="5"/>
      <c r="P32" s="5"/>
    </row>
    <row r="33" spans="10:16" x14ac:dyDescent="0.3">
      <c r="J33" s="4"/>
      <c r="K33" s="5"/>
      <c r="L33" s="5"/>
      <c r="M33" s="5"/>
      <c r="N33" s="5"/>
      <c r="O33" s="5"/>
      <c r="P33" s="5"/>
    </row>
    <row r="34" spans="10:16" x14ac:dyDescent="0.3">
      <c r="J34" s="4"/>
      <c r="K34" s="5"/>
      <c r="L34" s="5"/>
      <c r="M34" s="5"/>
      <c r="N34" s="5"/>
      <c r="O34" s="5"/>
      <c r="P34" s="5"/>
    </row>
  </sheetData>
  <mergeCells count="9">
    <mergeCell ref="K3:L3"/>
    <mergeCell ref="M3:N3"/>
    <mergeCell ref="H2:H4"/>
    <mergeCell ref="K2:N2"/>
    <mergeCell ref="C16:D16"/>
    <mergeCell ref="C3:F3"/>
    <mergeCell ref="C15:F15"/>
    <mergeCell ref="I2:I4"/>
    <mergeCell ref="J2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 Ta</dc:creator>
  <cp:lastModifiedBy>Xie Ta</cp:lastModifiedBy>
  <dcterms:created xsi:type="dcterms:W3CDTF">2025-10-19T13:54:08Z</dcterms:created>
  <dcterms:modified xsi:type="dcterms:W3CDTF">2025-10-24T17:32:22Z</dcterms:modified>
</cp:coreProperties>
</file>