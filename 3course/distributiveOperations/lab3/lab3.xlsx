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University\3course\distributiveOperations\lab3\"/>
    </mc:Choice>
  </mc:AlternateContent>
  <bookViews>
    <workbookView xWindow="0" yWindow="0" windowWidth="17256" windowHeight="6228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5" i="1"/>
  <c r="D14" i="1"/>
  <c r="P6" i="1"/>
  <c r="P7" i="1"/>
  <c r="P8" i="1"/>
  <c r="P9" i="1"/>
  <c r="P10" i="1"/>
  <c r="P11" i="1"/>
  <c r="P12" i="1"/>
  <c r="P5" i="1"/>
  <c r="N6" i="1"/>
  <c r="N7" i="1"/>
  <c r="N8" i="1"/>
  <c r="N9" i="1"/>
  <c r="N10" i="1"/>
  <c r="N11" i="1"/>
  <c r="N12" i="1"/>
  <c r="N5" i="1"/>
  <c r="L6" i="1"/>
  <c r="L7" i="1"/>
  <c r="L8" i="1"/>
  <c r="L9" i="1"/>
  <c r="L10" i="1"/>
  <c r="L11" i="1"/>
  <c r="L12" i="1"/>
  <c r="L5" i="1"/>
</calcChain>
</file>

<file path=xl/sharedStrings.xml><?xml version="1.0" encoding="utf-8"?>
<sst xmlns="http://schemas.openxmlformats.org/spreadsheetml/2006/main" count="19" uniqueCount="13">
  <si>
    <t>Test Number</t>
  </si>
  <si>
    <t>Basic Computational Operation Execution Time τ (sec):</t>
  </si>
  <si>
    <t>Theoretical time (sec)</t>
  </si>
  <si>
    <t>Serial algorithm</t>
  </si>
  <si>
    <t>Parallel algorithm</t>
  </si>
  <si>
    <t>2 processors</t>
  </si>
  <si>
    <t>4 processors</t>
  </si>
  <si>
    <t>8 processors</t>
  </si>
  <si>
    <t>Time</t>
  </si>
  <si>
    <t>Speed Up</t>
  </si>
  <si>
    <t>System Size</t>
  </si>
  <si>
    <t>Execution time (sec)</t>
  </si>
  <si>
    <t>(для 1500): τ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</si>
</sst>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#,##0.000000\ _₴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3FB"/>
        <bgColor indexed="64"/>
      </patternFill>
    </fill>
    <fill>
      <patternFill patternType="solid">
        <fgColor rgb="FFFFF4C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65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E1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14"/>
  <sheetViews>
    <sheetView tabSelected="1" topLeftCell="B1" workbookViewId="0">
      <selection activeCell="F14" sqref="F14"/>
    </sheetView>
  </sheetViews>
  <sheetFormatPr defaultRowHeight="14.4" x14ac:dyDescent="0.3"/>
  <cols>
    <col min="3" max="3" width="12.44140625" customWidth="1"/>
    <col min="4" max="4" width="12" customWidth="1"/>
    <col min="5" max="5" width="19.5546875" customWidth="1"/>
    <col min="6" max="6" width="19.6640625" bestFit="1" customWidth="1"/>
    <col min="8" max="8" width="11.44140625" bestFit="1" customWidth="1"/>
    <col min="9" max="9" width="13.88671875" customWidth="1"/>
    <col min="10" max="10" width="13.77734375" bestFit="1" customWidth="1"/>
    <col min="11" max="16" width="9.77734375" customWidth="1"/>
  </cols>
  <sheetData>
    <row r="2" spans="3:16" x14ac:dyDescent="0.3">
      <c r="H2" s="8" t="s">
        <v>0</v>
      </c>
      <c r="I2" s="7" t="s">
        <v>10</v>
      </c>
      <c r="J2" s="8" t="s">
        <v>3</v>
      </c>
      <c r="K2" s="9" t="s">
        <v>4</v>
      </c>
      <c r="L2" s="9"/>
      <c r="M2" s="9"/>
      <c r="N2" s="9"/>
      <c r="O2" s="9"/>
      <c r="P2" s="9"/>
    </row>
    <row r="3" spans="3:16" x14ac:dyDescent="0.3">
      <c r="C3" s="12" t="s">
        <v>1</v>
      </c>
      <c r="D3" s="13"/>
      <c r="E3" s="13"/>
      <c r="F3" s="14"/>
      <c r="H3" s="8"/>
      <c r="I3" s="7"/>
      <c r="J3" s="8"/>
      <c r="K3" s="10" t="s">
        <v>5</v>
      </c>
      <c r="L3" s="10"/>
      <c r="M3" s="11" t="s">
        <v>6</v>
      </c>
      <c r="N3" s="11"/>
      <c r="O3" s="10" t="s">
        <v>7</v>
      </c>
      <c r="P3" s="10"/>
    </row>
    <row r="4" spans="3:16" x14ac:dyDescent="0.3">
      <c r="C4" s="1" t="s">
        <v>0</v>
      </c>
      <c r="D4" s="2" t="s">
        <v>10</v>
      </c>
      <c r="E4" s="1" t="s">
        <v>11</v>
      </c>
      <c r="F4" s="2" t="s">
        <v>2</v>
      </c>
      <c r="H4" s="8"/>
      <c r="I4" s="7"/>
      <c r="J4" s="8"/>
      <c r="K4" s="1" t="s">
        <v>8</v>
      </c>
      <c r="L4" s="2" t="s">
        <v>9</v>
      </c>
      <c r="M4" s="1" t="s">
        <v>8</v>
      </c>
      <c r="N4" s="2" t="s">
        <v>9</v>
      </c>
      <c r="O4" s="1" t="s">
        <v>8</v>
      </c>
      <c r="P4" s="2" t="s">
        <v>9</v>
      </c>
    </row>
    <row r="5" spans="3:16" x14ac:dyDescent="0.3">
      <c r="C5" s="1">
        <v>1</v>
      </c>
      <c r="D5" s="2">
        <v>10</v>
      </c>
      <c r="E5" s="1">
        <v>1.0000000000000001E-5</v>
      </c>
      <c r="F5" s="6">
        <f>((2*D5*D5*D5)/3+(D5*D5))*$D$14</f>
        <v>8.0052186332186342E-7</v>
      </c>
      <c r="H5" s="2">
        <v>1</v>
      </c>
      <c r="I5" s="1">
        <v>10</v>
      </c>
      <c r="J5" s="3">
        <v>1.0000000000000001E-5</v>
      </c>
      <c r="K5" s="4">
        <v>8.1000000000000004E-5</v>
      </c>
      <c r="L5" s="3">
        <f>J5/K5</f>
        <v>0.1234567901234568</v>
      </c>
      <c r="M5" s="4">
        <v>2.63E-4</v>
      </c>
      <c r="N5" s="3">
        <f>J5/M5</f>
        <v>3.8022813688212934E-2</v>
      </c>
      <c r="O5" s="4">
        <v>1.255E-3</v>
      </c>
      <c r="P5" s="3">
        <f>J5/O5</f>
        <v>7.9681274900398405E-3</v>
      </c>
    </row>
    <row r="6" spans="3:16" x14ac:dyDescent="0.3">
      <c r="C6" s="1">
        <v>2</v>
      </c>
      <c r="D6" s="2">
        <v>100</v>
      </c>
      <c r="E6" s="1">
        <v>1.39E-3</v>
      </c>
      <c r="F6" s="6">
        <f t="shared" ref="F6:F12" si="0">((2*D6*D6*D6)/3+(D6*D6))*$D$14</f>
        <v>7.0654755762755771E-4</v>
      </c>
      <c r="H6" s="2">
        <v>2</v>
      </c>
      <c r="I6" s="1">
        <v>100</v>
      </c>
      <c r="J6" s="3">
        <v>1.39E-3</v>
      </c>
      <c r="K6" s="4">
        <v>6.8900000000000005E-4</v>
      </c>
      <c r="L6" s="3">
        <f t="shared" ref="L6:L12" si="1">J6/K6</f>
        <v>2.0174165457184321</v>
      </c>
      <c r="M6" s="4">
        <v>8.8400000000000002E-4</v>
      </c>
      <c r="N6" s="3">
        <f t="shared" ref="N6:N12" si="2">J6/M6</f>
        <v>1.5723981900452488</v>
      </c>
      <c r="O6" s="4">
        <v>1.7099999999999999E-3</v>
      </c>
      <c r="P6" s="3">
        <f t="shared" ref="P6:P12" si="3">J6/O6</f>
        <v>0.8128654970760234</v>
      </c>
    </row>
    <row r="7" spans="3:16" x14ac:dyDescent="0.3">
      <c r="C7" s="1">
        <v>3</v>
      </c>
      <c r="D7" s="2">
        <v>500</v>
      </c>
      <c r="E7" s="1">
        <v>8.6998000000000006E-2</v>
      </c>
      <c r="F7" s="6">
        <f t="shared" si="0"/>
        <v>8.7274285751285749E-2</v>
      </c>
      <c r="H7" s="2">
        <v>3</v>
      </c>
      <c r="I7" s="1">
        <v>500</v>
      </c>
      <c r="J7" s="3">
        <v>8.6998000000000006E-2</v>
      </c>
      <c r="K7" s="4">
        <v>4.5587999999999997E-2</v>
      </c>
      <c r="L7" s="3">
        <f t="shared" si="1"/>
        <v>1.9083530753707119</v>
      </c>
      <c r="M7" s="4">
        <v>3.1073E-2</v>
      </c>
      <c r="N7" s="3">
        <f t="shared" si="2"/>
        <v>2.7997940334052074</v>
      </c>
      <c r="O7" s="4">
        <v>3.1920999999999998E-2</v>
      </c>
      <c r="P7" s="3">
        <f t="shared" si="3"/>
        <v>2.7254158704301248</v>
      </c>
    </row>
    <row r="8" spans="3:16" x14ac:dyDescent="0.3">
      <c r="C8" s="1">
        <v>4</v>
      </c>
      <c r="D8" s="2">
        <v>1000</v>
      </c>
      <c r="E8" s="1">
        <v>0.68412600000000001</v>
      </c>
      <c r="F8" s="6">
        <f t="shared" si="0"/>
        <v>0.69715012705812707</v>
      </c>
      <c r="H8" s="2">
        <v>4</v>
      </c>
      <c r="I8" s="1">
        <v>1000</v>
      </c>
      <c r="J8" s="3">
        <v>0.68412600000000001</v>
      </c>
      <c r="K8" s="4">
        <v>0.356767</v>
      </c>
      <c r="L8" s="3">
        <f t="shared" si="1"/>
        <v>1.9175708515641863</v>
      </c>
      <c r="M8" s="4">
        <v>0.250166</v>
      </c>
      <c r="N8" s="3">
        <f t="shared" si="2"/>
        <v>2.7346881670570742</v>
      </c>
      <c r="O8" s="4">
        <v>0.21231</v>
      </c>
      <c r="P8" s="3">
        <f t="shared" si="3"/>
        <v>3.2222975837219163</v>
      </c>
    </row>
    <row r="9" spans="3:16" x14ac:dyDescent="0.3">
      <c r="C9" s="1">
        <v>5</v>
      </c>
      <c r="D9" s="2">
        <v>1500</v>
      </c>
      <c r="E9" s="1">
        <v>2.3517070000000002</v>
      </c>
      <c r="F9" s="6">
        <f t="shared" si="0"/>
        <v>2.3517070000000002</v>
      </c>
      <c r="H9" s="2">
        <v>5</v>
      </c>
      <c r="I9" s="1">
        <v>1500</v>
      </c>
      <c r="J9" s="3">
        <v>2.3517070000000002</v>
      </c>
      <c r="K9" s="4">
        <v>1.230559</v>
      </c>
      <c r="L9" s="3">
        <f t="shared" si="1"/>
        <v>1.9110883752831034</v>
      </c>
      <c r="M9" s="4">
        <v>0.74536400000000003</v>
      </c>
      <c r="N9" s="3">
        <f t="shared" si="2"/>
        <v>3.1551121331322682</v>
      </c>
      <c r="O9" s="4">
        <v>0.71411100000000005</v>
      </c>
      <c r="P9" s="3">
        <f t="shared" si="3"/>
        <v>3.2931953155741893</v>
      </c>
    </row>
    <row r="10" spans="3:16" x14ac:dyDescent="0.3">
      <c r="C10" s="1">
        <v>6</v>
      </c>
      <c r="D10" s="2">
        <v>2000</v>
      </c>
      <c r="E10" s="1">
        <v>5.6237250000000003</v>
      </c>
      <c r="F10" s="6">
        <f t="shared" si="0"/>
        <v>5.5730243806563813</v>
      </c>
      <c r="H10" s="2">
        <v>6</v>
      </c>
      <c r="I10" s="1">
        <v>2000</v>
      </c>
      <c r="J10" s="3">
        <v>5.6237250000000003</v>
      </c>
      <c r="K10" s="4">
        <v>2.9614210000000001</v>
      </c>
      <c r="L10" s="3">
        <f t="shared" si="1"/>
        <v>1.8989954484688263</v>
      </c>
      <c r="M10" s="4">
        <v>1.845766</v>
      </c>
      <c r="N10" s="3">
        <f t="shared" si="2"/>
        <v>3.046824462039067</v>
      </c>
      <c r="O10" s="4">
        <v>1.598341</v>
      </c>
      <c r="P10" s="3">
        <f t="shared" si="3"/>
        <v>3.5184763451603884</v>
      </c>
    </row>
    <row r="11" spans="3:16" x14ac:dyDescent="0.3">
      <c r="C11" s="1">
        <v>7</v>
      </c>
      <c r="D11" s="2">
        <v>2500</v>
      </c>
      <c r="E11" s="1">
        <v>10.729335000000001</v>
      </c>
      <c r="F11" s="6">
        <f t="shared" si="0"/>
        <v>10.883181745106747</v>
      </c>
      <c r="H11" s="2">
        <v>7</v>
      </c>
      <c r="I11" s="1">
        <v>2500</v>
      </c>
      <c r="J11" s="3">
        <v>10.729335000000001</v>
      </c>
      <c r="K11" s="4">
        <v>5.7410100000000002</v>
      </c>
      <c r="L11" s="3">
        <f t="shared" si="1"/>
        <v>1.868893278360428</v>
      </c>
      <c r="M11" s="4">
        <v>3.5895440000000001</v>
      </c>
      <c r="N11" s="3">
        <f t="shared" si="2"/>
        <v>2.9890523698831943</v>
      </c>
      <c r="O11" s="4">
        <v>3.2046250000000001</v>
      </c>
      <c r="P11" s="3">
        <f t="shared" si="3"/>
        <v>3.3480781682724188</v>
      </c>
    </row>
    <row r="12" spans="3:16" x14ac:dyDescent="0.3">
      <c r="C12" s="1">
        <v>8</v>
      </c>
      <c r="D12" s="2">
        <v>3000</v>
      </c>
      <c r="E12" s="1">
        <v>18.378240999999999</v>
      </c>
      <c r="F12" s="6">
        <f t="shared" si="0"/>
        <v>18.804258569430573</v>
      </c>
      <c r="H12" s="2">
        <v>8</v>
      </c>
      <c r="I12" s="1">
        <v>3000</v>
      </c>
      <c r="J12" s="3">
        <v>18.378240999999999</v>
      </c>
      <c r="K12" s="4">
        <v>9.6209790000000002</v>
      </c>
      <c r="L12" s="3">
        <f t="shared" si="1"/>
        <v>1.9102256641449897</v>
      </c>
      <c r="M12" s="4">
        <v>6.2175079999999996</v>
      </c>
      <c r="N12" s="3">
        <f t="shared" si="2"/>
        <v>2.9558853804450274</v>
      </c>
      <c r="O12" s="4">
        <v>5.6511230000000001</v>
      </c>
      <c r="P12" s="3">
        <f t="shared" si="3"/>
        <v>3.2521396189748479</v>
      </c>
    </row>
    <row r="14" spans="3:16" x14ac:dyDescent="0.3">
      <c r="C14" t="s">
        <v>12</v>
      </c>
      <c r="D14" s="5">
        <f>E9/((2*D9*D9*D9)/3+(D9*D9))</f>
        <v>1.0441589521589523E-9</v>
      </c>
    </row>
  </sheetData>
  <mergeCells count="8">
    <mergeCell ref="H2:H4"/>
    <mergeCell ref="C3:F3"/>
    <mergeCell ref="I2:I4"/>
    <mergeCell ref="J2:J4"/>
    <mergeCell ref="K2:P2"/>
    <mergeCell ref="K3:L3"/>
    <mergeCell ref="M3:N3"/>
    <mergeCell ref="O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Ta</dc:creator>
  <cp:lastModifiedBy>Xie Ta</cp:lastModifiedBy>
  <dcterms:created xsi:type="dcterms:W3CDTF">2025-10-23T11:30:31Z</dcterms:created>
  <dcterms:modified xsi:type="dcterms:W3CDTF">2025-10-24T17:23:01Z</dcterms:modified>
</cp:coreProperties>
</file>