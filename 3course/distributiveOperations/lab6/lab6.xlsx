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622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5" i="1"/>
  <c r="N6" i="1"/>
  <c r="N7" i="1"/>
  <c r="N8" i="1"/>
  <c r="N9" i="1"/>
  <c r="N10" i="1"/>
  <c r="N11" i="1"/>
  <c r="N12" i="1"/>
  <c r="N13" i="1"/>
  <c r="N14" i="1"/>
  <c r="N15" i="1"/>
  <c r="N16" i="1"/>
  <c r="N5" i="1"/>
  <c r="L6" i="1" l="1"/>
  <c r="L7" i="1"/>
  <c r="L8" i="1"/>
  <c r="L9" i="1"/>
  <c r="L10" i="1"/>
  <c r="L11" i="1"/>
  <c r="L12" i="1"/>
  <c r="L13" i="1"/>
  <c r="L14" i="1"/>
  <c r="L15" i="1"/>
  <c r="L16" i="1"/>
  <c r="L5" i="1"/>
  <c r="F11" i="1"/>
  <c r="F12" i="1"/>
  <c r="F13" i="1"/>
  <c r="F14" i="1"/>
  <c r="F15" i="1"/>
  <c r="F16" i="1"/>
  <c r="F5" i="1"/>
  <c r="F6" i="1"/>
  <c r="F7" i="1"/>
  <c r="F8" i="1"/>
  <c r="F9" i="1"/>
  <c r="F10" i="1"/>
  <c r="D19" i="1"/>
</calcChain>
</file>

<file path=xl/sharedStrings.xml><?xml version="1.0" encoding="utf-8"?>
<sst xmlns="http://schemas.openxmlformats.org/spreadsheetml/2006/main" count="20" uniqueCount="14">
  <si>
    <t>Test Number</t>
  </si>
  <si>
    <t>Theoretical time (sec)</t>
  </si>
  <si>
    <t>Serial algorithm</t>
  </si>
  <si>
    <t>Parallel algorithm</t>
  </si>
  <si>
    <t>2 processors</t>
  </si>
  <si>
    <t>4 processors</t>
  </si>
  <si>
    <t>8 processors</t>
  </si>
  <si>
    <t>Time</t>
  </si>
  <si>
    <t>Speed Up</t>
  </si>
  <si>
    <t>Execution time (sec)</t>
  </si>
  <si>
    <t>The Execution Time of the Basic Comparison Operation τ (sec):</t>
  </si>
  <si>
    <t>Grid Size</t>
  </si>
  <si>
    <t>(для 4002): τ =</t>
  </si>
  <si>
    <r>
      <t xml:space="preserve">epsilon = </t>
    </r>
    <r>
      <rPr>
        <sz val="11"/>
        <color rgb="FFFF0000"/>
        <rFont val="Calibri"/>
        <family val="2"/>
        <charset val="204"/>
        <scheme val="minor"/>
      </rPr>
      <t>0,5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</si>
</sst>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#,##0.000000\ _₴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3FB"/>
        <bgColor indexed="64"/>
      </patternFill>
    </fill>
    <fill>
      <patternFill patternType="solid">
        <fgColor rgb="FFFFF4C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9"/>
  <sheetViews>
    <sheetView tabSelected="1" workbookViewId="0">
      <selection activeCell="P16" sqref="P16"/>
    </sheetView>
  </sheetViews>
  <sheetFormatPr defaultRowHeight="14.4" x14ac:dyDescent="0.3"/>
  <cols>
    <col min="3" max="3" width="12.44140625" customWidth="1"/>
    <col min="4" max="4" width="16.6640625" bestFit="1" customWidth="1"/>
    <col min="5" max="5" width="19.5546875" customWidth="1"/>
    <col min="6" max="6" width="19.6640625" bestFit="1" customWidth="1"/>
    <col min="8" max="8" width="11.44140625" bestFit="1" customWidth="1"/>
    <col min="9" max="9" width="16.6640625" bestFit="1" customWidth="1"/>
    <col min="10" max="10" width="13.77734375" bestFit="1" customWidth="1"/>
    <col min="11" max="16" width="9.77734375" customWidth="1"/>
  </cols>
  <sheetData>
    <row r="2" spans="3:16" x14ac:dyDescent="0.3">
      <c r="H2" s="11" t="s">
        <v>0</v>
      </c>
      <c r="I2" s="15" t="s">
        <v>11</v>
      </c>
      <c r="J2" s="11" t="s">
        <v>2</v>
      </c>
      <c r="K2" s="16" t="s">
        <v>3</v>
      </c>
      <c r="L2" s="16"/>
      <c r="M2" s="16"/>
      <c r="N2" s="16"/>
      <c r="O2" s="16"/>
      <c r="P2" s="16"/>
    </row>
    <row r="3" spans="3:16" x14ac:dyDescent="0.3">
      <c r="C3" s="12" t="s">
        <v>10</v>
      </c>
      <c r="D3" s="13"/>
      <c r="E3" s="13"/>
      <c r="F3" s="14"/>
      <c r="H3" s="11"/>
      <c r="I3" s="15"/>
      <c r="J3" s="11"/>
      <c r="K3" s="17" t="s">
        <v>4</v>
      </c>
      <c r="L3" s="17"/>
      <c r="M3" s="18" t="s">
        <v>5</v>
      </c>
      <c r="N3" s="18"/>
      <c r="O3" s="17" t="s">
        <v>6</v>
      </c>
      <c r="P3" s="17"/>
    </row>
    <row r="4" spans="3:16" x14ac:dyDescent="0.3">
      <c r="C4" s="1" t="s">
        <v>0</v>
      </c>
      <c r="D4" s="8" t="s">
        <v>11</v>
      </c>
      <c r="E4" s="1" t="s">
        <v>9</v>
      </c>
      <c r="F4" s="2" t="s">
        <v>1</v>
      </c>
      <c r="H4" s="11"/>
      <c r="I4" s="15"/>
      <c r="J4" s="11"/>
      <c r="K4" s="1" t="s">
        <v>7</v>
      </c>
      <c r="L4" s="2" t="s">
        <v>8</v>
      </c>
      <c r="M4" s="1" t="s">
        <v>7</v>
      </c>
      <c r="N4" s="2" t="s">
        <v>8</v>
      </c>
      <c r="O4" s="1" t="s">
        <v>7</v>
      </c>
      <c r="P4" s="2" t="s">
        <v>8</v>
      </c>
    </row>
    <row r="5" spans="3:16" x14ac:dyDescent="0.3">
      <c r="C5" s="1">
        <v>1</v>
      </c>
      <c r="D5" s="2">
        <v>10</v>
      </c>
      <c r="E5" s="10">
        <v>1.2999999999999999E-5</v>
      </c>
      <c r="F5" s="6">
        <f>6*79*D5^2*$D$19</f>
        <v>4.1091523203915282E-5</v>
      </c>
      <c r="H5" s="2">
        <v>1</v>
      </c>
      <c r="I5" s="10">
        <v>10</v>
      </c>
      <c r="J5" s="9">
        <v>1.2999999999999999E-5</v>
      </c>
      <c r="K5" s="4">
        <v>3.01E-4</v>
      </c>
      <c r="L5" s="3">
        <f>J5/K5</f>
        <v>4.3189368770764118E-2</v>
      </c>
      <c r="M5" s="4">
        <v>2.03E-4</v>
      </c>
      <c r="N5" s="3">
        <f>J5/M5</f>
        <v>6.4039408866995065E-2</v>
      </c>
      <c r="O5" s="4">
        <v>5.7200000000000003E-4</v>
      </c>
      <c r="P5" s="3">
        <f>J5/O5</f>
        <v>2.2727272727272724E-2</v>
      </c>
    </row>
    <row r="6" spans="3:16" x14ac:dyDescent="0.3">
      <c r="C6" s="1">
        <v>2</v>
      </c>
      <c r="D6" s="2">
        <v>98</v>
      </c>
      <c r="E6" s="10">
        <v>3.7299999999999998E-3</v>
      </c>
      <c r="F6" s="6">
        <f>6*79*D6^2*$D$19</f>
        <v>3.9464298885040243E-3</v>
      </c>
      <c r="H6" s="2">
        <v>2</v>
      </c>
      <c r="I6" s="10">
        <v>98</v>
      </c>
      <c r="J6" s="9">
        <v>3.7299999999999998E-3</v>
      </c>
      <c r="K6" s="4">
        <v>3.8010000000000001E-3</v>
      </c>
      <c r="L6" s="3">
        <f t="shared" ref="L6:L16" si="0">J6/K6</f>
        <v>0.98132070507761104</v>
      </c>
      <c r="M6" s="4">
        <v>2.6779999999999998E-3</v>
      </c>
      <c r="N6" s="3">
        <f t="shared" ref="N6:N16" si="1">J6/M6</f>
        <v>1.3928304705003733</v>
      </c>
      <c r="O6" s="4">
        <v>2.4139999999999999E-3</v>
      </c>
      <c r="P6" s="3">
        <f t="shared" ref="P6:P16" si="2">J6/O6</f>
        <v>1.5451532725766364</v>
      </c>
    </row>
    <row r="7" spans="3:16" x14ac:dyDescent="0.3">
      <c r="C7" s="1">
        <v>3</v>
      </c>
      <c r="D7" s="2">
        <v>1002</v>
      </c>
      <c r="E7" s="10">
        <v>0.42605900000000002</v>
      </c>
      <c r="F7" s="6">
        <f>6*79*D7^2*$D$19</f>
        <v>0.41256053662823761</v>
      </c>
      <c r="H7" s="2">
        <v>3</v>
      </c>
      <c r="I7" s="10">
        <v>1002</v>
      </c>
      <c r="J7" s="9">
        <v>0.42605900000000002</v>
      </c>
      <c r="K7" s="4">
        <v>0.241124</v>
      </c>
      <c r="L7" s="3">
        <f t="shared" si="0"/>
        <v>1.7669705213914833</v>
      </c>
      <c r="M7" s="4">
        <v>0.18487899999999999</v>
      </c>
      <c r="N7" s="3">
        <f t="shared" si="1"/>
        <v>2.3045289080966471</v>
      </c>
      <c r="O7" s="4">
        <v>0.16017300000000001</v>
      </c>
      <c r="P7" s="3">
        <f t="shared" si="2"/>
        <v>2.6599926329656061</v>
      </c>
    </row>
    <row r="8" spans="3:16" x14ac:dyDescent="0.3">
      <c r="C8" s="1">
        <v>4</v>
      </c>
      <c r="D8" s="7">
        <v>2002</v>
      </c>
      <c r="E8" s="10">
        <v>1.734491</v>
      </c>
      <c r="F8" s="6">
        <f>6*79*D8^2*$D$19</f>
        <v>1.6469498936738527</v>
      </c>
      <c r="H8" s="2">
        <v>4</v>
      </c>
      <c r="I8" s="10">
        <v>2002</v>
      </c>
      <c r="J8" s="9">
        <v>1.734491</v>
      </c>
      <c r="K8" s="4">
        <v>0.96856799999999998</v>
      </c>
      <c r="L8" s="3">
        <f t="shared" si="0"/>
        <v>1.7907787579189072</v>
      </c>
      <c r="M8" s="4">
        <v>0.66614300000000004</v>
      </c>
      <c r="N8" s="3">
        <f t="shared" si="1"/>
        <v>2.6037817705807909</v>
      </c>
      <c r="O8" s="4">
        <v>0.76295000000000002</v>
      </c>
      <c r="P8" s="3">
        <f t="shared" si="2"/>
        <v>2.2734006160298841</v>
      </c>
    </row>
    <row r="9" spans="3:16" x14ac:dyDescent="0.3">
      <c r="C9" s="1">
        <v>5</v>
      </c>
      <c r="D9" s="7">
        <v>3002</v>
      </c>
      <c r="E9" s="10">
        <v>3.7525040000000001</v>
      </c>
      <c r="F9" s="6">
        <f>6*79*D9^2*$D$19</f>
        <v>3.7031697147977733</v>
      </c>
      <c r="H9" s="2">
        <v>5</v>
      </c>
      <c r="I9" s="10">
        <v>3002</v>
      </c>
      <c r="J9" s="9">
        <v>3.7525040000000001</v>
      </c>
      <c r="K9" s="4">
        <v>2.1966450000000002</v>
      </c>
      <c r="L9" s="3">
        <f t="shared" si="0"/>
        <v>1.7082887767481771</v>
      </c>
      <c r="M9" s="4">
        <v>1.405886</v>
      </c>
      <c r="N9" s="3">
        <f t="shared" si="1"/>
        <v>2.6691381804783605</v>
      </c>
      <c r="O9" s="4">
        <v>1.442212</v>
      </c>
      <c r="P9" s="3">
        <f t="shared" si="2"/>
        <v>2.6019087346381808</v>
      </c>
    </row>
    <row r="10" spans="3:16" x14ac:dyDescent="0.3">
      <c r="C10" s="1">
        <v>6</v>
      </c>
      <c r="D10" s="7">
        <v>4002</v>
      </c>
      <c r="E10" s="10">
        <v>6.5812200000000001</v>
      </c>
      <c r="F10" s="6">
        <f>6*79*D10^2*$D$19</f>
        <v>6.5812200000000001</v>
      </c>
      <c r="H10" s="2">
        <v>6</v>
      </c>
      <c r="I10" s="10">
        <v>4002</v>
      </c>
      <c r="J10" s="9">
        <v>6.5812200000000001</v>
      </c>
      <c r="K10" s="4">
        <v>3.9342990000000002</v>
      </c>
      <c r="L10" s="3">
        <f t="shared" si="0"/>
        <v>1.6727808435505283</v>
      </c>
      <c r="M10" s="4">
        <v>2.474834</v>
      </c>
      <c r="N10" s="3">
        <f t="shared" si="1"/>
        <v>2.6592571461358623</v>
      </c>
      <c r="O10" s="4">
        <v>2.2934800000000002</v>
      </c>
      <c r="P10" s="3">
        <f t="shared" si="2"/>
        <v>2.869534506514118</v>
      </c>
    </row>
    <row r="11" spans="3:16" x14ac:dyDescent="0.3">
      <c r="C11" s="10">
        <v>7</v>
      </c>
      <c r="D11" s="9">
        <v>5002</v>
      </c>
      <c r="E11" s="10">
        <v>10.204554999999999</v>
      </c>
      <c r="F11" s="6">
        <f>6*79*D11^2*$D$19</f>
        <v>10.281100749280531</v>
      </c>
      <c r="H11" s="9">
        <v>7</v>
      </c>
      <c r="I11" s="10">
        <v>5002</v>
      </c>
      <c r="J11" s="9">
        <v>10.204554999999999</v>
      </c>
      <c r="K11" s="4">
        <v>5.7827469999999996</v>
      </c>
      <c r="L11" s="3">
        <f t="shared" si="0"/>
        <v>1.7646552754253297</v>
      </c>
      <c r="M11" s="4">
        <v>3.6793339999999999</v>
      </c>
      <c r="N11" s="3">
        <f t="shared" si="1"/>
        <v>2.7734788415512153</v>
      </c>
      <c r="O11" s="4">
        <v>3.6088629999999999</v>
      </c>
      <c r="P11" s="3">
        <f t="shared" si="2"/>
        <v>2.8276371255988382</v>
      </c>
    </row>
    <row r="12" spans="3:16" x14ac:dyDescent="0.3">
      <c r="C12" s="10">
        <v>8</v>
      </c>
      <c r="D12" s="9">
        <v>6002</v>
      </c>
      <c r="E12" s="10">
        <v>14.466696000000001</v>
      </c>
      <c r="F12" s="6">
        <f>6*79*D12^2*$D$19</f>
        <v>14.802811962639369</v>
      </c>
      <c r="H12" s="9">
        <v>8</v>
      </c>
      <c r="I12" s="10">
        <v>6002</v>
      </c>
      <c r="J12" s="9">
        <v>14.466696000000001</v>
      </c>
      <c r="K12" s="4">
        <v>8.3824120000000004</v>
      </c>
      <c r="L12" s="3">
        <f t="shared" si="0"/>
        <v>1.7258392930340336</v>
      </c>
      <c r="M12" s="4">
        <v>5.0167590000000004</v>
      </c>
      <c r="N12" s="3">
        <f t="shared" si="1"/>
        <v>2.883673702484014</v>
      </c>
      <c r="O12" s="4">
        <v>4.4151559999999996</v>
      </c>
      <c r="P12" s="3">
        <f t="shared" si="2"/>
        <v>3.2765990601464594</v>
      </c>
    </row>
    <row r="13" spans="3:16" x14ac:dyDescent="0.3">
      <c r="C13" s="10">
        <v>9</v>
      </c>
      <c r="D13" s="9">
        <v>7002</v>
      </c>
      <c r="E13" s="10">
        <v>19.488306999999999</v>
      </c>
      <c r="F13" s="6">
        <f>6*79*D13^2*$D$19</f>
        <v>20.146353640076512</v>
      </c>
      <c r="H13" s="9">
        <v>9</v>
      </c>
      <c r="I13" s="10">
        <v>7002</v>
      </c>
      <c r="J13" s="9">
        <v>19.488306999999999</v>
      </c>
      <c r="K13" s="4">
        <v>11.111668999999999</v>
      </c>
      <c r="L13" s="3">
        <f t="shared" si="0"/>
        <v>1.753859568711055</v>
      </c>
      <c r="M13" s="4">
        <v>6.8473879999999996</v>
      </c>
      <c r="N13" s="3">
        <f t="shared" si="1"/>
        <v>2.8460935761198285</v>
      </c>
      <c r="O13" s="4">
        <v>5.7784079999999998</v>
      </c>
      <c r="P13" s="3">
        <f t="shared" si="2"/>
        <v>3.3726083377982308</v>
      </c>
    </row>
    <row r="14" spans="3:16" x14ac:dyDescent="0.3">
      <c r="C14" s="10">
        <v>10</v>
      </c>
      <c r="D14" s="9">
        <v>8002</v>
      </c>
      <c r="E14" s="10">
        <v>25.512796999999999</v>
      </c>
      <c r="F14" s="6">
        <f>6*79*D14^2*$D$19</f>
        <v>26.311725781591964</v>
      </c>
      <c r="H14" s="9">
        <v>10</v>
      </c>
      <c r="I14" s="10">
        <v>8002</v>
      </c>
      <c r="J14" s="9">
        <v>25.512796999999999</v>
      </c>
      <c r="K14" s="4">
        <v>14.431428</v>
      </c>
      <c r="L14" s="3">
        <f t="shared" si="0"/>
        <v>1.7678636514695565</v>
      </c>
      <c r="M14" s="4">
        <v>9.0310129999999997</v>
      </c>
      <c r="N14" s="3">
        <f t="shared" si="1"/>
        <v>2.8250205154172625</v>
      </c>
      <c r="O14" s="4">
        <v>8.8452140000000004</v>
      </c>
      <c r="P14" s="3">
        <f t="shared" si="2"/>
        <v>2.8843617576691756</v>
      </c>
    </row>
    <row r="15" spans="3:16" x14ac:dyDescent="0.3">
      <c r="C15" s="10">
        <v>11</v>
      </c>
      <c r="D15" s="9">
        <v>9002</v>
      </c>
      <c r="E15" s="10">
        <v>31.842153</v>
      </c>
      <c r="F15" s="6">
        <f>6*79*D15^2*$D$19</f>
        <v>33.298928387185718</v>
      </c>
      <c r="H15" s="9">
        <v>11</v>
      </c>
      <c r="I15" s="10">
        <v>9002</v>
      </c>
      <c r="J15" s="9">
        <v>31.842153</v>
      </c>
      <c r="K15" s="4">
        <v>18.889026000000001</v>
      </c>
      <c r="L15" s="3">
        <f t="shared" si="0"/>
        <v>1.6857488046233828</v>
      </c>
      <c r="M15" s="4">
        <v>11.383917</v>
      </c>
      <c r="N15" s="3">
        <f t="shared" si="1"/>
        <v>2.7971174596582178</v>
      </c>
      <c r="O15" s="4">
        <v>9.2948280000000008</v>
      </c>
      <c r="P15" s="3">
        <f t="shared" si="2"/>
        <v>3.4257926020793494</v>
      </c>
    </row>
    <row r="16" spans="3:16" x14ac:dyDescent="0.3">
      <c r="C16" s="10">
        <v>12</v>
      </c>
      <c r="D16" s="9">
        <v>10002</v>
      </c>
      <c r="E16" s="10">
        <v>39.837414000000003</v>
      </c>
      <c r="F16" s="6">
        <f>6*79*D16^2*$D$19</f>
        <v>41.10796145685778</v>
      </c>
      <c r="H16" s="9">
        <v>12</v>
      </c>
      <c r="I16" s="10">
        <v>10002</v>
      </c>
      <c r="J16" s="9">
        <v>39.837414000000003</v>
      </c>
      <c r="K16" s="4">
        <v>23.204115000000002</v>
      </c>
      <c r="L16" s="3">
        <f t="shared" si="0"/>
        <v>1.7168253992880143</v>
      </c>
      <c r="M16" s="4">
        <v>13.345897000000001</v>
      </c>
      <c r="N16" s="3">
        <f t="shared" si="1"/>
        <v>2.9849933653766398</v>
      </c>
      <c r="O16" s="4">
        <v>12.653587999999999</v>
      </c>
      <c r="P16" s="3">
        <f t="shared" si="2"/>
        <v>3.1483097126285449</v>
      </c>
    </row>
    <row r="18" spans="3:4" x14ac:dyDescent="0.3">
      <c r="C18" t="s">
        <v>13</v>
      </c>
    </row>
    <row r="19" spans="3:4" x14ac:dyDescent="0.3">
      <c r="C19" t="s">
        <v>12</v>
      </c>
      <c r="D19" s="5">
        <f>E10/(79*6*D10^2)</f>
        <v>8.6690977223449966E-10</v>
      </c>
    </row>
  </sheetData>
  <mergeCells count="8">
    <mergeCell ref="H2:H4"/>
    <mergeCell ref="C3:F3"/>
    <mergeCell ref="I2:I4"/>
    <mergeCell ref="J2:J4"/>
    <mergeCell ref="K2:P2"/>
    <mergeCell ref="K3:L3"/>
    <mergeCell ref="M3:N3"/>
    <mergeCell ref="O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Ta</dc:creator>
  <cp:lastModifiedBy>Xie Ta</cp:lastModifiedBy>
  <dcterms:created xsi:type="dcterms:W3CDTF">2025-10-23T11:30:31Z</dcterms:created>
  <dcterms:modified xsi:type="dcterms:W3CDTF">2025-12-01T02:29:01Z</dcterms:modified>
</cp:coreProperties>
</file>